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4" Type="http://schemas.openxmlformats.org/officeDocument/2006/relationships/officeDocument" Target="xl/workbook.xml"/><Relationship  Id="rId3" Type="http://schemas.openxmlformats.org/officeDocument/2006/relationships/custom-properties" Target="docProps/custom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Sheet1" sheetId="1" state="visible" r:id="rId1"/>
  </sheets>
  <calcPr/>
</workbook>
</file>

<file path=xl/sharedStrings.xml><?xml version="1.0" encoding="utf-8"?>
<sst xmlns="http://schemas.openxmlformats.org/spreadsheetml/2006/main" count="20" uniqueCount="20">
  <si>
    <t>ROLL</t>
  </si>
  <si>
    <t>PITCH</t>
  </si>
  <si>
    <t>YAW</t>
  </si>
  <si>
    <t>LABEL</t>
  </si>
  <si>
    <t xml:space="preserve">ROLL H</t>
  </si>
  <si>
    <t xml:space="preserve">ROLL L</t>
  </si>
  <si>
    <t xml:space="preserve">PITCH H</t>
  </si>
  <si>
    <t xml:space="preserve">PITCH L</t>
  </si>
  <si>
    <t xml:space="preserve">YAW H</t>
  </si>
  <si>
    <t xml:space="preserve">YAW L</t>
  </si>
  <si>
    <t>CS</t>
  </si>
  <si>
    <t xml:space="preserve">Byte </t>
  </si>
  <si>
    <t>0x01</t>
  </si>
  <si>
    <t>0xFF00</t>
  </si>
  <si>
    <t>0x00FF</t>
  </si>
  <si>
    <t>0x02</t>
  </si>
  <si>
    <t>0x03</t>
  </si>
  <si>
    <t>OR</t>
  </si>
  <si>
    <t>TRANSMIT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</si>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</sst>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0" formatCode="_ * #,##0.00_ ;_ * \-#,##0.00_ ;_ * &quot;-&quot;??_ ;_ @_ "/>
    <numFmt numFmtId="161" formatCode="_(&quot;$&quot;* #,##0.00_);_(&quot;$&quot;* \(#,##0.00\);_(&quot;$&quot;* &quot;-&quot;??_);_(@_)"/>
    <numFmt numFmtId="162" formatCode="_ * #,##0_ ;_ * \-#,##0_ ;_ * &quot;-&quot;_ ;_ @_ "/>
    <numFmt numFmtId="163" formatCode="_(&quot;$&quot;* #,##0_);_(&quot;$&quot;* \(#,##0\);_(&quot;$&quot;* &quot;-&quot;_);_(@_)"/>
  </numFmts>
  <fonts count="19">
    <font>
      <sz val="11.000000"/>
      <color theme="1"/>
      <name val="Calibri"/>
      <scheme val="minor"/>
    </font>
    <font>
      <u/>
      <sz val="11.000000"/>
      <color indexed="4"/>
      <name val="Calibri"/>
      <scheme val="minor"/>
    </font>
    <font>
      <u/>
      <sz val="11.000000"/>
      <color indexed="20"/>
      <name val="Calibri"/>
      <scheme val="minor"/>
    </font>
    <font>
      <sz val="11.000000"/>
      <color indexed="2"/>
      <name val="Calibri"/>
      <scheme val="minor"/>
    </font>
    <font>
      <b/>
      <sz val="18.000000"/>
      <color theme="3"/>
      <name val="Calibri"/>
      <scheme val="minor"/>
    </font>
    <font>
      <i/>
      <sz val="11.000000"/>
      <color rgb="FF7F7F7F"/>
      <name val="Calibri"/>
      <scheme val="minor"/>
    </font>
    <font>
      <b/>
      <sz val="15.000000"/>
      <color theme="3"/>
      <name val="Calibri"/>
      <scheme val="minor"/>
    </font>
    <font>
      <b/>
      <sz val="13.000000"/>
      <color theme="3"/>
      <name val="Calibri"/>
      <scheme val="minor"/>
    </font>
    <font>
      <b/>
      <sz val="11.000000"/>
      <color theme="3"/>
      <name val="Calibri"/>
      <scheme val="minor"/>
    </font>
    <font>
      <sz val="11.000000"/>
      <color rgb="FF3F3F76"/>
      <name val="Calibri"/>
      <scheme val="minor"/>
    </font>
    <font>
      <b/>
      <sz val="11.000000"/>
      <color rgb="FF3F3F3F"/>
      <name val="Calibri"/>
      <scheme val="minor"/>
    </font>
    <font>
      <b/>
      <sz val="11.000000"/>
      <color rgb="FFFA7D00"/>
      <name val="Calibri"/>
      <scheme val="minor"/>
    </font>
    <font>
      <b/>
      <sz val="11.000000"/>
      <color indexed="65"/>
      <name val="Calibri"/>
      <scheme val="minor"/>
    </font>
    <font>
      <sz val="11.000000"/>
      <color rgb="FFFA7D00"/>
      <name val="Calibri"/>
      <scheme val="minor"/>
    </font>
    <font>
      <b/>
      <sz val="11.000000"/>
      <color theme="1"/>
      <name val="Calibri"/>
      <scheme val="minor"/>
    </font>
    <font>
      <sz val="11.000000"/>
      <color rgb="FF006100"/>
      <name val="Calibri"/>
      <scheme val="minor"/>
    </font>
    <font>
      <sz val="11.000000"/>
      <color rgb="FF9C0006"/>
      <name val="Calibri"/>
      <scheme val="minor"/>
    </font>
    <font>
      <sz val="11.000000"/>
      <color rgb="FF9C6500"/>
      <name val="Calibri"/>
      <scheme val="minor"/>
    </font>
    <font>
      <sz val="11.000000"/>
      <color theme="0"/>
      <name val="Calibri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theme="4"/>
        <bgColor theme="4"/>
      </patternFill>
    </fill>
    <fill>
      <patternFill patternType="solid">
        <fgColor theme="4" tint="0.79998168889431398"/>
        <bgColor theme="4" tint="0.79998168889431398"/>
      </patternFill>
    </fill>
    <fill>
      <patternFill patternType="solid">
        <fgColor theme="4" tint="0.59999389629810496"/>
        <bgColor theme="4" tint="0.59999389629810496"/>
      </patternFill>
    </fill>
    <fill>
      <patternFill patternType="solid">
        <fgColor theme="4" tint="0.39997558519241899"/>
        <bgColor theme="4" tint="0.39997558519241899"/>
      </patternFill>
    </fill>
    <fill>
      <patternFill patternType="solid">
        <fgColor theme="5"/>
        <bgColor theme="5"/>
      </patternFill>
    </fill>
    <fill>
      <patternFill patternType="solid">
        <fgColor theme="5" tint="0.79998168889431398"/>
        <bgColor theme="5" tint="0.79998168889431398"/>
      </patternFill>
    </fill>
    <fill>
      <patternFill patternType="solid">
        <fgColor theme="5" tint="0.59999389629810496"/>
        <bgColor theme="5" tint="0.59999389629810496"/>
      </patternFill>
    </fill>
    <fill>
      <patternFill patternType="solid">
        <fgColor theme="5" tint="0.39997558519241899"/>
        <bgColor theme="5" tint="0.39997558519241899"/>
      </patternFill>
    </fill>
    <fill>
      <patternFill patternType="solid">
        <fgColor theme="6"/>
        <bgColor theme="6"/>
      </patternFill>
    </fill>
    <fill>
      <patternFill patternType="solid">
        <fgColor theme="6" tint="0.79998168889431398"/>
        <bgColor theme="6" tint="0.79998168889431398"/>
      </patternFill>
    </fill>
    <fill>
      <patternFill patternType="solid">
        <fgColor theme="6" tint="0.59999389629810496"/>
        <bgColor theme="6" tint="0.59999389629810496"/>
      </patternFill>
    </fill>
    <fill>
      <patternFill patternType="solid">
        <fgColor theme="6" tint="0.39997558519241899"/>
        <bgColor theme="6" tint="0.39997558519241899"/>
      </patternFill>
    </fill>
    <fill>
      <patternFill patternType="solid">
        <fgColor theme="7"/>
        <bgColor theme="7"/>
      </patternFill>
    </fill>
    <fill>
      <patternFill patternType="solid">
        <fgColor theme="7" tint="0.79998168889431398"/>
        <bgColor theme="7" tint="0.79998168889431398"/>
      </patternFill>
    </fill>
    <fill>
      <patternFill patternType="solid">
        <fgColor theme="7" tint="0.59999389629810496"/>
        <bgColor theme="7" tint="0.59999389629810496"/>
      </patternFill>
    </fill>
    <fill>
      <patternFill patternType="solid">
        <fgColor theme="7" tint="0.39997558519241899"/>
        <bgColor theme="7" tint="0.3999755851924189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398"/>
        <bgColor theme="8" tint="0.79998168889431398"/>
      </patternFill>
    </fill>
    <fill>
      <patternFill patternType="solid">
        <fgColor theme="8" tint="0.59999389629810496"/>
        <bgColor theme="8" tint="0.59999389629810496"/>
      </patternFill>
    </fill>
    <fill>
      <patternFill patternType="solid">
        <fgColor theme="8" tint="0.39997558519241899"/>
        <bgColor theme="8" tint="0.39997558519241899"/>
      </patternFill>
    </fill>
    <fill>
      <patternFill patternType="solid">
        <fgColor theme="9"/>
        <bgColor theme="9"/>
      </patternFill>
    </fill>
    <fill>
      <patternFill patternType="solid">
        <fgColor theme="9" tint="0.79998168889431398"/>
        <bgColor theme="9" tint="0.79998168889431398"/>
      </patternFill>
    </fill>
    <fill>
      <patternFill patternType="solid">
        <fgColor theme="9" tint="0.59999389629810496"/>
        <bgColor theme="9" tint="0.59999389629810496"/>
      </patternFill>
    </fill>
    <fill>
      <patternFill patternType="solid">
        <fgColor theme="9" tint="0.39997558519241899"/>
        <bgColor theme="9" tint="0.39997558519241899"/>
      </patternFill>
    </fill>
    <fill>
      <patternFill patternType="solid">
        <fgColor theme="9" tint="0.39997558519241921"/>
        <bgColor theme="9" tint="0.39997558519241921"/>
      </patternFill>
    </fill>
    <fill>
      <patternFill patternType="solid">
        <fgColor indexed="5"/>
        <bgColor indexed="5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49">
    <xf fontId="0" fillId="0" borderId="0" numFmtId="0" applyNumberFormat="1" applyFont="1" applyFill="1" applyBorder="1"/>
    <xf fontId="0" fillId="0" borderId="0" numFmtId="160" applyNumberFormat="1" applyFont="0" applyFill="0" applyBorder="0" applyProtection="0">
      <alignment vertical="center"/>
    </xf>
    <xf fontId="0" fillId="0" borderId="0" numFmtId="161" applyNumberFormat="1" applyFont="0" applyFill="0" applyBorder="0" applyProtection="0">
      <alignment vertical="center"/>
    </xf>
    <xf fontId="0" fillId="0" borderId="0" numFmtId="9" applyNumberFormat="1" applyFont="0" applyFill="0" applyBorder="0" applyProtection="0">
      <alignment vertical="center"/>
    </xf>
    <xf fontId="0" fillId="0" borderId="0" numFmtId="162" applyNumberFormat="1" applyFont="0" applyFill="0" applyBorder="0" applyProtection="0">
      <alignment vertical="center"/>
    </xf>
    <xf fontId="0" fillId="0" borderId="0" numFmtId="163" applyNumberFormat="1" applyFont="0" applyFill="0" applyBorder="0" applyProtection="0">
      <alignment vertical="center"/>
    </xf>
    <xf fontId="1" fillId="0" borderId="0" numFmtId="0" applyNumberFormat="0" applyFont="1" applyFill="0" applyBorder="0" applyProtection="0">
      <alignment vertical="center"/>
    </xf>
    <xf fontId="2" fillId="0" borderId="0" numFmtId="0" applyNumberFormat="0" applyFont="1" applyFill="0" applyBorder="0" applyProtection="0">
      <alignment vertical="center"/>
    </xf>
    <xf fontId="0" fillId="2" borderId="1" numFmtId="0" applyNumberFormat="0" applyFont="0" applyFill="1" applyBorder="1" applyProtection="0">
      <alignment vertical="center"/>
    </xf>
    <xf fontId="3" fillId="0" borderId="0" numFmtId="0" applyNumberFormat="0" applyFont="1" applyFill="0" applyBorder="0" applyProtection="0">
      <alignment vertical="center"/>
    </xf>
    <xf fontId="4" fillId="0" borderId="0" numFmtId="0" applyNumberFormat="0" applyFont="1" applyFill="0" applyBorder="0" applyProtection="0">
      <alignment vertical="center"/>
    </xf>
    <xf fontId="5" fillId="0" borderId="0" numFmtId="0" applyNumberFormat="0" applyFont="1" applyFill="0" applyBorder="0" applyProtection="0">
      <alignment vertical="center"/>
    </xf>
    <xf fontId="6" fillId="0" borderId="2" numFmtId="0" applyNumberFormat="0" applyFont="1" applyFill="0" applyBorder="1" applyProtection="0">
      <alignment vertical="center"/>
    </xf>
    <xf fontId="7" fillId="0" borderId="2" numFmtId="0" applyNumberFormat="0" applyFont="1" applyFill="0" applyBorder="1" applyProtection="0">
      <alignment vertical="center"/>
    </xf>
    <xf fontId="8" fillId="0" borderId="3" numFmtId="0" applyNumberFormat="0" applyFont="1" applyFill="0" applyBorder="1" applyProtection="0">
      <alignment vertical="center"/>
    </xf>
    <xf fontId="8" fillId="0" borderId="0" numFmtId="0" applyNumberFormat="0" applyFont="1" applyFill="0" applyBorder="0" applyProtection="0">
      <alignment vertical="center"/>
    </xf>
    <xf fontId="9" fillId="3" borderId="4" numFmtId="0" applyNumberFormat="0" applyFont="1" applyFill="1" applyBorder="1" applyProtection="0">
      <alignment vertical="center"/>
    </xf>
    <xf fontId="10" fillId="4" borderId="5" numFmtId="0" applyNumberFormat="0" applyFont="1" applyFill="1" applyBorder="1" applyProtection="0">
      <alignment vertical="center"/>
    </xf>
    <xf fontId="11" fillId="4" borderId="4" numFmtId="0" applyNumberFormat="0" applyFont="1" applyFill="1" applyBorder="1" applyProtection="0">
      <alignment vertical="center"/>
    </xf>
    <xf fontId="12" fillId="5" borderId="6" numFmtId="0" applyNumberFormat="0" applyFont="1" applyFill="1" applyBorder="1" applyProtection="0">
      <alignment vertical="center"/>
    </xf>
    <xf fontId="13" fillId="0" borderId="7" numFmtId="0" applyNumberFormat="0" applyFont="1" applyFill="0" applyBorder="1" applyProtection="0">
      <alignment vertical="center"/>
    </xf>
    <xf fontId="14" fillId="0" borderId="8" numFmtId="0" applyNumberFormat="0" applyFont="1" applyFill="0" applyBorder="1" applyProtection="0">
      <alignment vertical="center"/>
    </xf>
    <xf fontId="15" fillId="6" borderId="0" numFmtId="0" applyNumberFormat="0" applyFont="1" applyFill="1" applyBorder="0" applyProtection="0">
      <alignment vertical="center"/>
    </xf>
    <xf fontId="16" fillId="7" borderId="0" numFmtId="0" applyNumberFormat="0" applyFont="1" applyFill="1" applyBorder="0" applyProtection="0">
      <alignment vertical="center"/>
    </xf>
    <xf fontId="17" fillId="8" borderId="0" numFmtId="0" applyNumberFormat="0" applyFont="1" applyFill="1" applyBorder="0" applyProtection="0">
      <alignment vertical="center"/>
    </xf>
    <xf fontId="18" fillId="9" borderId="0" numFmtId="0" applyNumberFormat="0" applyFont="1" applyFill="1" applyBorder="0" applyProtection="0">
      <alignment vertical="center"/>
    </xf>
    <xf fontId="0" fillId="10" borderId="0" numFmtId="0" applyNumberFormat="0" applyFont="1" applyFill="1" applyBorder="0" applyProtection="0">
      <alignment vertical="center"/>
    </xf>
    <xf fontId="0" fillId="11" borderId="0" numFmtId="0" applyNumberFormat="0" applyFont="1" applyFill="1" applyBorder="0" applyProtection="0">
      <alignment vertical="center"/>
    </xf>
    <xf fontId="18" fillId="12" borderId="0" numFmtId="0" applyNumberFormat="0" applyFont="1" applyFill="1" applyBorder="0" applyProtection="0">
      <alignment vertical="center"/>
    </xf>
    <xf fontId="18" fillId="13" borderId="0" numFmtId="0" applyNumberFormat="0" applyFont="1" applyFill="1" applyBorder="0" applyProtection="0">
      <alignment vertical="center"/>
    </xf>
    <xf fontId="0" fillId="14" borderId="0" numFmtId="0" applyNumberFormat="0" applyFont="1" applyFill="1" applyBorder="0" applyProtection="0">
      <alignment vertical="center"/>
    </xf>
    <xf fontId="0" fillId="15" borderId="0" numFmtId="0" applyNumberFormat="0" applyFont="1" applyFill="1" applyBorder="0" applyProtection="0">
      <alignment vertical="center"/>
    </xf>
    <xf fontId="18" fillId="16" borderId="0" numFmtId="0" applyNumberFormat="0" applyFont="1" applyFill="1" applyBorder="0" applyProtection="0">
      <alignment vertical="center"/>
    </xf>
    <xf fontId="18" fillId="17" borderId="0" numFmtId="0" applyNumberFormat="0" applyFont="1" applyFill="1" applyBorder="0" applyProtection="0">
      <alignment vertical="center"/>
    </xf>
    <xf fontId="0" fillId="18" borderId="0" numFmtId="0" applyNumberFormat="0" applyFont="1" applyFill="1" applyBorder="0" applyProtection="0">
      <alignment vertical="center"/>
    </xf>
    <xf fontId="0" fillId="19" borderId="0" numFmtId="0" applyNumberFormat="0" applyFont="1" applyFill="1" applyBorder="0" applyProtection="0">
      <alignment vertical="center"/>
    </xf>
    <xf fontId="18" fillId="20" borderId="0" numFmtId="0" applyNumberFormat="0" applyFont="1" applyFill="1" applyBorder="0" applyProtection="0">
      <alignment vertical="center"/>
    </xf>
    <xf fontId="18" fillId="21" borderId="0" numFmtId="0" applyNumberFormat="0" applyFont="1" applyFill="1" applyBorder="0" applyProtection="0">
      <alignment vertical="center"/>
    </xf>
    <xf fontId="0" fillId="22" borderId="0" numFmtId="0" applyNumberFormat="0" applyFont="1" applyFill="1" applyBorder="0" applyProtection="0">
      <alignment vertical="center"/>
    </xf>
    <xf fontId="0" fillId="23" borderId="0" numFmtId="0" applyNumberFormat="0" applyFont="1" applyFill="1" applyBorder="0" applyProtection="0">
      <alignment vertical="center"/>
    </xf>
    <xf fontId="18" fillId="24" borderId="0" numFmtId="0" applyNumberFormat="0" applyFont="1" applyFill="1" applyBorder="0" applyProtection="0">
      <alignment vertical="center"/>
    </xf>
    <xf fontId="18" fillId="25" borderId="0" numFmtId="0" applyNumberFormat="0" applyFont="1" applyFill="1" applyBorder="0" applyProtection="0">
      <alignment vertical="center"/>
    </xf>
    <xf fontId="0" fillId="26" borderId="0" numFmtId="0" applyNumberFormat="0" applyFont="1" applyFill="1" applyBorder="0" applyProtection="0">
      <alignment vertical="center"/>
    </xf>
    <xf fontId="0" fillId="27" borderId="0" numFmtId="0" applyNumberFormat="0" applyFont="1" applyFill="1" applyBorder="0" applyProtection="0">
      <alignment vertical="center"/>
    </xf>
    <xf fontId="18" fillId="28" borderId="0" numFmtId="0" applyNumberFormat="0" applyFont="1" applyFill="1" applyBorder="0" applyProtection="0">
      <alignment vertical="center"/>
    </xf>
    <xf fontId="18" fillId="29" borderId="0" numFmtId="0" applyNumberFormat="0" applyFont="1" applyFill="1" applyBorder="0" applyProtection="0">
      <alignment vertical="center"/>
    </xf>
    <xf fontId="0" fillId="30" borderId="0" numFmtId="0" applyNumberFormat="0" applyFont="1" applyFill="1" applyBorder="0" applyProtection="0">
      <alignment vertical="center"/>
    </xf>
    <xf fontId="0" fillId="31" borderId="0" numFmtId="0" applyNumberFormat="0" applyFont="1" applyFill="1" applyBorder="0" applyProtection="0">
      <alignment vertical="center"/>
    </xf>
    <xf fontId="18" fillId="32" borderId="0" numFmtId="0" applyNumberFormat="0" applyFont="1" applyFill="1" applyBorder="0" applyProtection="0">
      <alignment vertical="center"/>
    </xf>
  </cellStyleXfs>
  <cellXfs count="8">
    <xf fontId="0" fillId="0" borderId="0" numFmtId="0" xfId="0"/>
    <xf fontId="0" fillId="0" borderId="9" numFmtId="0" xfId="0" applyBorder="1"/>
    <xf fontId="0" fillId="0" borderId="9" numFmtId="0" xfId="0" applyBorder="1" applyAlignment="1">
      <alignment horizontal="center"/>
    </xf>
    <xf fontId="0" fillId="0" borderId="9" numFmtId="0" xfId="0" applyBorder="1">
      <protection hidden="0" locked="1"/>
    </xf>
    <xf fontId="0" fillId="33" borderId="9" numFmtId="0" xfId="0" applyFill="1" applyBorder="1"/>
    <xf fontId="0" fillId="33" borderId="9" numFmtId="0" xfId="0" applyFill="1" applyBorder="1">
      <protection hidden="0" locked="1"/>
    </xf>
    <xf fontId="0" fillId="34" borderId="9" numFmtId="0" xfId="0" applyFill="1" applyBorder="1"/>
    <xf fontId="0" fillId="34" borderId="9" numFmtId="0" xfId="0" applyFill="1" applyBorder="1">
      <protection hidden="0" locked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C1" zoomScale="100" workbookViewId="0">
      <selection activeCell="H10" activeCellId="0" sqref="H10"/>
    </sheetView>
  </sheetViews>
  <sheetFormatPr defaultColWidth="9" defaultRowHeight="14.25" outlineLevelRow="3"/>
  <cols>
    <col bestFit="1" min="2" max="2" width="9.8515625"/>
  </cols>
  <sheetData>
    <row r="1">
      <c r="B1" s="1"/>
      <c r="C1" s="2" t="s">
        <v>0</v>
      </c>
      <c r="D1" s="2"/>
      <c r="E1" s="2"/>
      <c r="F1" s="2" t="s">
        <v>1</v>
      </c>
      <c r="G1" s="2"/>
      <c r="H1" s="2"/>
      <c r="I1" s="2" t="s">
        <v>2</v>
      </c>
      <c r="J1" s="2"/>
      <c r="K1" s="2"/>
      <c r="L1" s="1"/>
    </row>
    <row r="2">
      <c r="B2" s="1"/>
      <c r="C2" s="1" t="s">
        <v>3</v>
      </c>
      <c r="D2" s="1" t="s">
        <v>4</v>
      </c>
      <c r="E2" s="1" t="s">
        <v>5</v>
      </c>
      <c r="F2" s="1" t="s">
        <v>3</v>
      </c>
      <c r="G2" s="1" t="s">
        <v>6</v>
      </c>
      <c r="H2" s="1" t="s">
        <v>7</v>
      </c>
      <c r="I2" s="1" t="s">
        <v>3</v>
      </c>
      <c r="J2" s="1" t="s">
        <v>8</v>
      </c>
      <c r="K2" s="1" t="s">
        <v>9</v>
      </c>
      <c r="L2" s="1" t="s">
        <v>10</v>
      </c>
    </row>
    <row r="3">
      <c r="B3" s="1" t="s">
        <v>11</v>
      </c>
      <c r="C3" s="1">
        <v>0</v>
      </c>
      <c r="D3" s="1">
        <v>1</v>
      </c>
      <c r="E3" s="1">
        <v>2</v>
      </c>
      <c r="F3" s="1">
        <v>3</v>
      </c>
      <c r="G3" s="1">
        <v>4</v>
      </c>
      <c r="H3" s="1">
        <v>5</v>
      </c>
      <c r="I3" s="1">
        <v>6</v>
      </c>
      <c r="J3" s="1">
        <v>7</v>
      </c>
      <c r="K3" s="1">
        <v>8</v>
      </c>
      <c r="L3" s="1">
        <v>9</v>
      </c>
    </row>
    <row r="4">
      <c r="B4" s="1"/>
      <c r="C4" s="1" t="s">
        <v>12</v>
      </c>
      <c r="D4" s="1" t="s">
        <v>13</v>
      </c>
      <c r="E4" s="1" t="s">
        <v>14</v>
      </c>
      <c r="F4" s="1" t="s">
        <v>15</v>
      </c>
      <c r="G4" s="1" t="s">
        <v>13</v>
      </c>
      <c r="H4" s="1" t="s">
        <v>14</v>
      </c>
      <c r="I4" s="1" t="s">
        <v>16</v>
      </c>
      <c r="J4" s="1" t="s">
        <v>13</v>
      </c>
      <c r="K4" s="1" t="s">
        <v>14</v>
      </c>
      <c r="L4" s="1" t="s">
        <v>17</v>
      </c>
    </row>
    <row r="5" ht="14.25">
      <c r="B5" s="1"/>
      <c r="C5" s="1"/>
      <c r="D5" s="1">
        <f>_xlfn.BITAND(D9,65280)</f>
        <v>26880</v>
      </c>
      <c r="E5" s="1">
        <f>_xlfn.BITAND(D9,255)</f>
        <v>121</v>
      </c>
      <c r="F5" s="1"/>
      <c r="G5" s="3">
        <f>_xlfn.BITAND(G9,65280)</f>
        <v>1280</v>
      </c>
      <c r="H5" s="3">
        <f>_xlfn.BITAND(G9,255)</f>
        <v>221</v>
      </c>
      <c r="I5" s="1"/>
      <c r="J5" s="3">
        <f>_xlfn.BITAND(J9,65280)</f>
        <v>4864</v>
      </c>
      <c r="K5" s="3">
        <f>_xlfn.BITAND(J9,255)</f>
        <v>137</v>
      </c>
      <c r="L5" s="1"/>
    </row>
    <row r="6" ht="14.25">
      <c r="B6" s="4" t="s">
        <v>18</v>
      </c>
      <c r="C6" s="4">
        <v>1</v>
      </c>
      <c r="D6" s="4">
        <f>_xlfn.BITRSHIFT(D5,8)</f>
        <v>105</v>
      </c>
      <c r="E6" s="4">
        <f>E5</f>
        <v>121</v>
      </c>
      <c r="F6" s="4">
        <v>2</v>
      </c>
      <c r="G6" s="5">
        <f>_xlfn.BITRSHIFT(G5,8)</f>
        <v>5</v>
      </c>
      <c r="H6" s="4">
        <f>H5</f>
        <v>221</v>
      </c>
      <c r="I6" s="4">
        <v>3</v>
      </c>
      <c r="J6" s="5">
        <f>_xlfn.BITRSHIFT(J5,8)</f>
        <v>19</v>
      </c>
      <c r="K6" s="4">
        <f>K5</f>
        <v>137</v>
      </c>
      <c r="L6" s="4">
        <f>K7</f>
        <v>82</v>
      </c>
    </row>
    <row r="7" ht="14.25">
      <c r="B7" s="1"/>
      <c r="C7" s="1"/>
      <c r="D7" s="1">
        <f>_xlfn.BITXOR(C6,D6)</f>
        <v>104</v>
      </c>
      <c r="E7" s="1">
        <f>_xlfn.BITXOR(D7,E6)</f>
        <v>17</v>
      </c>
      <c r="F7" s="1">
        <f>_xlfn.BITXOR(E7,F6)</f>
        <v>19</v>
      </c>
      <c r="G7" s="1">
        <f>_xlfn.BITXOR(F7,G6)</f>
        <v>22</v>
      </c>
      <c r="H7" s="1">
        <f>_xlfn.BITXOR(G7,H6)</f>
        <v>203</v>
      </c>
      <c r="I7" s="1">
        <f>_xlfn.BITXOR(H7,I6)</f>
        <v>200</v>
      </c>
      <c r="J7" s="1">
        <f>_xlfn.BITXOR(I7,J6)</f>
        <v>219</v>
      </c>
      <c r="K7" s="1">
        <f>_xlfn.BITXOR(J7,K6)</f>
        <v>82</v>
      </c>
      <c r="L7" s="1"/>
    </row>
    <row r="8" ht="14.25"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ht="14.25">
      <c r="B9" s="6" t="s">
        <v>19</v>
      </c>
      <c r="C9" s="6"/>
      <c r="D9" s="6">
        <f>E9*100</f>
        <v>27001</v>
      </c>
      <c r="E9" s="6">
        <v>270.00999999999999</v>
      </c>
      <c r="F9" s="6"/>
      <c r="G9" s="6">
        <f>H9*100</f>
        <v>1501</v>
      </c>
      <c r="H9" s="6">
        <v>15.01</v>
      </c>
      <c r="I9" s="6"/>
      <c r="J9" s="7">
        <f>K9*100</f>
        <v>5001</v>
      </c>
      <c r="K9" s="6">
        <v>50.009999999999998</v>
      </c>
      <c r="L9" s="6"/>
    </row>
  </sheetData>
  <mergeCells count="3">
    <mergeCell ref="C1:E1"/>
    <mergeCell ref="F1:H1"/>
    <mergeCell ref="I1:K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ONLYOFFICE/7.3.3.50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created xsi:type="dcterms:W3CDTF">2023-09-30T04:09:12Z</dcterms:created>
  <dcterms:modified xsi:type="dcterms:W3CDTF">2023-09-30T10:44:33Z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BF22487678B9498BB157E37D462D6ED6_12</vt:lpwstr>
  </property>
  <property fmtid="{D5CDD505-2E9C-101B-9397-08002B2CF9AE}" pid="3" name="KSOProductBuildVer">
    <vt:lpwstr>1033-12.2.0.13215</vt:lpwstr>
  </property>
</Properties>
</file>